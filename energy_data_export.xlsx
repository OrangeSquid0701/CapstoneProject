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ens\OneDrive\Desktop\capstone25261\"/>
    </mc:Choice>
  </mc:AlternateContent>
  <xr:revisionPtr revIDLastSave="0" documentId="13_ncr:1_{19175FA8-6AAD-4C3A-9444-9FAFB3515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  <sheet name="Sheet1" sheetId="1" r:id="rId2"/>
  </sheets>
  <calcPr calcId="191029"/>
  <pivotCaches>
    <pivotCache cacheId="5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4" i="1"/>
  <c r="C5" i="1"/>
  <c r="C6" i="1"/>
  <c r="C7" i="1"/>
  <c r="C8" i="1"/>
  <c r="C9" i="1"/>
  <c r="C10" i="1"/>
  <c r="C11" i="1"/>
  <c r="C12" i="1"/>
  <c r="C13" i="1"/>
  <c r="C14" i="1"/>
  <c r="C15" i="1"/>
  <c r="C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6" i="1"/>
</calcChain>
</file>

<file path=xl/sharedStrings.xml><?xml version="1.0" encoding="utf-8"?>
<sst xmlns="http://schemas.openxmlformats.org/spreadsheetml/2006/main" count="69" uniqueCount="40">
  <si>
    <t>Timestamp_ID</t>
  </si>
  <si>
    <t>kWh</t>
  </si>
  <si>
    <t>2026010709</t>
  </si>
  <si>
    <t>2026010710</t>
  </si>
  <si>
    <t>2026010711</t>
  </si>
  <si>
    <t>2026010713</t>
  </si>
  <si>
    <t>2026010714</t>
  </si>
  <si>
    <t>2026010715</t>
  </si>
  <si>
    <t>2026010716</t>
  </si>
  <si>
    <t>2026010717</t>
  </si>
  <si>
    <t>2026010718</t>
  </si>
  <si>
    <t>2026010719</t>
  </si>
  <si>
    <t>2026010720</t>
  </si>
  <si>
    <t>2026010721</t>
  </si>
  <si>
    <t>2026010722</t>
  </si>
  <si>
    <t>2026010723</t>
  </si>
  <si>
    <t>2026010808</t>
  </si>
  <si>
    <t>2026010809</t>
  </si>
  <si>
    <t>2026010810</t>
  </si>
  <si>
    <t>2026010811</t>
  </si>
  <si>
    <t>2026010812</t>
  </si>
  <si>
    <t>2026010813</t>
  </si>
  <si>
    <t>2026010814</t>
  </si>
  <si>
    <t>2026010815</t>
  </si>
  <si>
    <t>2026010816</t>
  </si>
  <si>
    <t>2026010819</t>
  </si>
  <si>
    <t>2026010820</t>
  </si>
  <si>
    <t>2026010821</t>
  </si>
  <si>
    <t>2026010822</t>
  </si>
  <si>
    <t>2026010823</t>
  </si>
  <si>
    <t>Day</t>
  </si>
  <si>
    <t>Row Labels</t>
  </si>
  <si>
    <t>Grand Total</t>
  </si>
  <si>
    <t>Column Labels</t>
  </si>
  <si>
    <t>Time</t>
  </si>
  <si>
    <t>kWh_daily</t>
  </si>
  <si>
    <t>Hourly_usage</t>
  </si>
  <si>
    <t>Sum of Hourly_usage</t>
  </si>
  <si>
    <t>1st Day (7/1/2026)</t>
  </si>
  <si>
    <t>2nd Day (8/1/2026)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</si>
</sst>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: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164" fontId="1" fillId="0" borderId="2" xfId="0" applyNumberFormat="1" applyFont="1" applyFill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[energy_data_export.xlsx]Sheet4!PivotTable3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Hourly Energy Usage Comparison</a:t>
            </a:r>
          </a:p>
          <a:p>
            <a:pPr>
              <a:defRPr/>
            </a:pPr>
            <a:r>
              <a:rPr lang="en-GB" baseline="0"/>
              <a:t>(Hardware Testing)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1st Day (7/1/2026)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Sheet4!$A$5:$A$21</c:f>
              <c:strCache>
                <c:ptCount val="16"/>
                <c:pt idx="0">
                  <c:v>08:00</c:v>
                </c:pt>
                <c:pt idx="1">
                  <c:v>09:00</c:v>
                </c:pt>
                <c:pt idx="2">
                  <c:v>10:00</c:v>
                </c:pt>
                <c:pt idx="3">
                  <c:v>11:00</c:v>
                </c:pt>
                <c:pt idx="4">
                  <c:v>12:00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21:00</c:v>
                </c:pt>
                <c:pt idx="14">
                  <c:v>22:00</c:v>
                </c:pt>
                <c:pt idx="15">
                  <c:v>23:00</c:v>
                </c:pt>
              </c:strCache>
            </c:strRef>
          </c:cat>
          <c:val>
            <c:numRef>
              <c:f>Sheet4!$B$5:$B$21</c:f>
              <c:numCache>
                <c:formatCode>General</c:formatCode>
                <c:ptCount val="16"/>
                <c:pt idx="1">
                  <c:v>2.5000000000000001E-2</c:v>
                </c:pt>
                <c:pt idx="2">
                  <c:v>0.11900000000000005</c:v>
                </c:pt>
                <c:pt idx="3">
                  <c:v>0.11199999999999999</c:v>
                </c:pt>
                <c:pt idx="5">
                  <c:v>5.699999999999994E-2</c:v>
                </c:pt>
                <c:pt idx="6">
                  <c:v>5.600000000000005E-2</c:v>
                </c:pt>
                <c:pt idx="7">
                  <c:v>6.6999999999999948E-2</c:v>
                </c:pt>
                <c:pt idx="8">
                  <c:v>6.1000000000000054E-2</c:v>
                </c:pt>
                <c:pt idx="9">
                  <c:v>3.6000000000000032E-2</c:v>
                </c:pt>
                <c:pt idx="10">
                  <c:v>7.0999999999999952E-2</c:v>
                </c:pt>
                <c:pt idx="11">
                  <c:v>0.10400000000000009</c:v>
                </c:pt>
                <c:pt idx="12">
                  <c:v>6.899999999999995E-2</c:v>
                </c:pt>
                <c:pt idx="13">
                  <c:v>5.8000000000000052E-2</c:v>
                </c:pt>
                <c:pt idx="14">
                  <c:v>5.0999999999999934E-2</c:v>
                </c:pt>
                <c:pt idx="15">
                  <c:v>2.8000000000000025E-2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8-40EE-BA5E-F68322888DF0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2nd Day (8/1/2026)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Sheet4!$A$5:$A$21</c:f>
              <c:strCache>
                <c:ptCount val="16"/>
                <c:pt idx="0">
                  <c:v>08:00</c:v>
                </c:pt>
                <c:pt idx="1">
                  <c:v>09:00</c:v>
                </c:pt>
                <c:pt idx="2">
                  <c:v>10:00</c:v>
                </c:pt>
                <c:pt idx="3">
                  <c:v>11:00</c:v>
                </c:pt>
                <c:pt idx="4">
                  <c:v>12:00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21:00</c:v>
                </c:pt>
                <c:pt idx="14">
                  <c:v>22:00</c:v>
                </c:pt>
                <c:pt idx="15">
                  <c:v>23:00</c:v>
                </c:pt>
              </c:strCache>
            </c:strRef>
          </c:cat>
          <c:val>
            <c:numRef>
              <c:f>Sheet4!$C$5:$C$21</c:f>
              <c:numCache>
                <c:formatCode>General</c:formatCode>
                <c:ptCount val="16"/>
                <c:pt idx="0">
                  <c:v>2.4000000000000021E-2</c:v>
                </c:pt>
                <c:pt idx="1">
                  <c:v>7.0999999999999952E-2</c:v>
                </c:pt>
                <c:pt idx="2">
                  <c:v>5.8999999999999941E-2</c:v>
                </c:pt>
                <c:pt idx="3">
                  <c:v>5.600000000000005E-2</c:v>
                </c:pt>
                <c:pt idx="4">
                  <c:v>6.0999999999999943E-2</c:v>
                </c:pt>
                <c:pt idx="5">
                  <c:v>4.7000000000000153E-2</c:v>
                </c:pt>
                <c:pt idx="6">
                  <c:v>5.8999999999999941E-2</c:v>
                </c:pt>
                <c:pt idx="7">
                  <c:v>6.2000000000000055E-2</c:v>
                </c:pt>
                <c:pt idx="8">
                  <c:v>3.8999999999999924E-2</c:v>
                </c:pt>
                <c:pt idx="11">
                  <c:v>1.8999999999999906E-2</c:v>
                </c:pt>
                <c:pt idx="12">
                  <c:v>7.6000000000000068E-2</c:v>
                </c:pt>
                <c:pt idx="13">
                  <c:v>6.2000000000000055E-2</c:v>
                </c:pt>
                <c:pt idx="14">
                  <c:v>7.3999999999999844E-2</c:v>
                </c:pt>
                <c:pt idx="15">
                  <c:v>5.8000000000000274E-2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8-40EE-BA5E-F68322888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0440672"/>
        <c:axId val="1950440192"/>
      </c:barChart>
      <c:catAx>
        <c:axId val="195044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40192"/>
        <c:crosses val="autoZero"/>
        <c:auto val="1"/>
        <c:lblAlgn val="ctr"/>
        <c:lblOffset val="100"/>
        <c:noMultiLvlLbl val="0"/>
      </c:catAx>
      <c:valAx>
        <c:axId val="19504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</a:t>
                </a:r>
                <a:r>
                  <a:rPr lang="en-GB" baseline="0"/>
                  <a:t> Consumption (kWh)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7.3898126154658223E-3"/>
              <c:y val="0.36233794305123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200026</xdr:colOff>
      <xdr:row>4</xdr:row>
      <xdr:rowOff>57150</xdr:rowOff>
    </xdr:from>
    <xdr:to>
      <xdr:col>19</xdr:col>
      <xdr:colOff>304800</xdr:colOff>
      <xdr:row>34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B0A92-EC5D-7DA0-3294-34177A656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h JienSeng" refreshedDate="46034.951872569443" createdVersion="8" refreshedVersion="8" minRefreshableVersion="3" recordCount="28" xr:uid="{08E90C3F-B1A3-42B5-90BF-145AFEBFBC78}">
  <cacheSource type="worksheet">
    <worksheetSource ref="A1:F29" sheet="Sheet1"/>
  </cacheSource>
  <cacheFields count="6">
    <cacheField name="Timestamp_ID" numFmtId="0">
      <sharedItems/>
    </cacheField>
    <cacheField name="kWh" numFmtId="0">
      <sharedItems containsSemiMixedTypes="0" containsString="0" containsNumber="1" minValue="0.40699999999999997" maxValue="2.0630000000000002"/>
    </cacheField>
    <cacheField name="Hourly_usage" numFmtId="0">
      <sharedItems containsSemiMixedTypes="0" containsString="0" containsNumber="1" minValue="1.8999999999999906E-2" maxValue="0.11900000000000005"/>
    </cacheField>
    <cacheField name="kWh_daily" numFmtId="0">
      <sharedItems containsSemiMixedTypes="0" containsString="0" containsNumber="1" minValue="2.4000000000000021E-2" maxValue="0.91400000000000003"/>
    </cacheField>
    <cacheField name="Day" numFmtId="0">
      <sharedItems count="4">
        <s v="1st Day (7/1/2026)"/>
        <s v="2nd Day (8/1/2026)"/>
        <s v="1st Day" u="1"/>
        <s v="2nd Day" u="1"/>
      </sharedItems>
    </cacheField>
    <cacheField name="Time" numFmtId="164">
      <sharedItems containsSemiMixedTypes="0" containsString="0" containsNumber="1" containsInteger="1" minValue="800" maxValue="2300" count="16">
        <n v="900"/>
        <n v="1000"/>
        <n v="1100"/>
        <n v="1300"/>
        <n v="1400"/>
        <n v="1500"/>
        <n v="1600"/>
        <n v="1700"/>
        <n v="1800"/>
        <n v="1900"/>
        <n v="2000"/>
        <n v="2100"/>
        <n v="2200"/>
        <n v="2300"/>
        <n v="800"/>
        <n v="1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2026010709"/>
    <n v="0.40699999999999997"/>
    <n v="2.5000000000000001E-2"/>
    <n v="2.4999999999999967E-2"/>
    <x v="0"/>
    <x v="0"/>
  </r>
  <r>
    <s v="2026010710"/>
    <n v="0.52600000000000002"/>
    <n v="0.11900000000000005"/>
    <n v="0.14400000000000002"/>
    <x v="0"/>
    <x v="1"/>
  </r>
  <r>
    <s v="2026010711"/>
    <n v="0.63800000000000001"/>
    <n v="0.11199999999999999"/>
    <n v="0.25600000000000001"/>
    <x v="0"/>
    <x v="2"/>
  </r>
  <r>
    <s v="2026010713"/>
    <n v="0.69499999999999995"/>
    <n v="5.699999999999994E-2"/>
    <n v="0.31299999999999994"/>
    <x v="0"/>
    <x v="3"/>
  </r>
  <r>
    <s v="2026010714"/>
    <n v="0.751"/>
    <n v="5.600000000000005E-2"/>
    <n v="0.36899999999999999"/>
    <x v="0"/>
    <x v="4"/>
  </r>
  <r>
    <s v="2026010715"/>
    <n v="0.81799999999999995"/>
    <n v="6.6999999999999948E-2"/>
    <n v="0.43599999999999994"/>
    <x v="0"/>
    <x v="5"/>
  </r>
  <r>
    <s v="2026010716"/>
    <n v="0.879"/>
    <n v="6.1000000000000054E-2"/>
    <n v="0.497"/>
    <x v="0"/>
    <x v="6"/>
  </r>
  <r>
    <s v="2026010717"/>
    <n v="0.91500000000000004"/>
    <n v="3.6000000000000032E-2"/>
    <n v="0.53300000000000003"/>
    <x v="0"/>
    <x v="7"/>
  </r>
  <r>
    <s v="2026010718"/>
    <n v="0.98599999999999999"/>
    <n v="7.0999999999999952E-2"/>
    <n v="0.60399999999999998"/>
    <x v="0"/>
    <x v="8"/>
  </r>
  <r>
    <s v="2026010719"/>
    <n v="1.0900000000000001"/>
    <n v="0.10400000000000009"/>
    <n v="0.70800000000000007"/>
    <x v="0"/>
    <x v="9"/>
  </r>
  <r>
    <s v="2026010720"/>
    <n v="1.159"/>
    <n v="6.899999999999995E-2"/>
    <n v="0.77700000000000002"/>
    <x v="0"/>
    <x v="10"/>
  </r>
  <r>
    <s v="2026010721"/>
    <n v="1.2170000000000001"/>
    <n v="5.8000000000000052E-2"/>
    <n v="0.83500000000000008"/>
    <x v="0"/>
    <x v="11"/>
  </r>
  <r>
    <s v="2026010722"/>
    <n v="1.268"/>
    <n v="5.0999999999999934E-2"/>
    <n v="0.88600000000000001"/>
    <x v="0"/>
    <x v="12"/>
  </r>
  <r>
    <s v="2026010723"/>
    <n v="1.296"/>
    <n v="2.8000000000000025E-2"/>
    <n v="0.91400000000000003"/>
    <x v="0"/>
    <x v="13"/>
  </r>
  <r>
    <s v="2026010808"/>
    <n v="1.32"/>
    <n v="2.4000000000000021E-2"/>
    <n v="2.4000000000000021E-2"/>
    <x v="1"/>
    <x v="14"/>
  </r>
  <r>
    <s v="2026010809"/>
    <n v="1.391"/>
    <n v="7.0999999999999952E-2"/>
    <n v="9.4999999999999973E-2"/>
    <x v="1"/>
    <x v="0"/>
  </r>
  <r>
    <s v="2026010810"/>
    <n v="1.45"/>
    <n v="5.8999999999999941E-2"/>
    <n v="0.15399999999999991"/>
    <x v="1"/>
    <x v="1"/>
  </r>
  <r>
    <s v="2026010811"/>
    <n v="1.506"/>
    <n v="5.600000000000005E-2"/>
    <n v="0.20999999999999996"/>
    <x v="1"/>
    <x v="2"/>
  </r>
  <r>
    <s v="2026010812"/>
    <n v="1.5669999999999999"/>
    <n v="6.0999999999999943E-2"/>
    <n v="0.27099999999999991"/>
    <x v="1"/>
    <x v="15"/>
  </r>
  <r>
    <s v="2026010813"/>
    <n v="1.6140000000000001"/>
    <n v="4.7000000000000153E-2"/>
    <n v="0.31800000000000006"/>
    <x v="1"/>
    <x v="3"/>
  </r>
  <r>
    <s v="2026010814"/>
    <n v="1.673"/>
    <n v="5.8999999999999941E-2"/>
    <n v="0.377"/>
    <x v="1"/>
    <x v="4"/>
  </r>
  <r>
    <s v="2026010815"/>
    <n v="1.7350000000000001"/>
    <n v="6.2000000000000055E-2"/>
    <n v="0.43900000000000006"/>
    <x v="1"/>
    <x v="5"/>
  </r>
  <r>
    <s v="2026010816"/>
    <n v="1.774"/>
    <n v="3.8999999999999924E-2"/>
    <n v="0.47799999999999998"/>
    <x v="1"/>
    <x v="6"/>
  </r>
  <r>
    <s v="2026010819"/>
    <n v="1.7929999999999999"/>
    <n v="1.8999999999999906E-2"/>
    <n v="0.49699999999999989"/>
    <x v="1"/>
    <x v="9"/>
  </r>
  <r>
    <s v="2026010820"/>
    <n v="1.869"/>
    <n v="7.6000000000000068E-2"/>
    <n v="0.57299999999999995"/>
    <x v="1"/>
    <x v="10"/>
  </r>
  <r>
    <s v="2026010821"/>
    <n v="1.931"/>
    <n v="6.2000000000000055E-2"/>
    <n v="0.63500000000000001"/>
    <x v="1"/>
    <x v="11"/>
  </r>
  <r>
    <s v="2026010822"/>
    <n v="2.0049999999999999"/>
    <n v="7.3999999999999844E-2"/>
    <n v="0.70899999999999985"/>
    <x v="1"/>
    <x v="12"/>
  </r>
  <r>
    <s v="2026010823"/>
    <n v="2.0630000000000002"/>
    <n v="5.8000000000000274E-2"/>
    <n v="0.76700000000000013"/>
    <x v="1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1B2D9-A12D-4301-825D-923F4E853D89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21" firstHeaderRow="1" firstDataRow="2" firstDataCol="1"/>
  <pivotFields count="6">
    <pivotField showAll="0"/>
    <pivotField showAll="0"/>
    <pivotField dataField="1" showAll="0"/>
    <pivotField showAll="0"/>
    <pivotField axis="axisCol" showAll="0">
      <items count="5">
        <item m="1" x="2"/>
        <item m="1" x="3"/>
        <item x="0"/>
        <item x="1"/>
        <item t="default"/>
      </items>
    </pivotField>
    <pivotField axis="axisRow" numFmtId="164" showAll="0">
      <items count="17">
        <item x="14"/>
        <item x="0"/>
        <item x="1"/>
        <item x="2"/>
        <item x="15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4"/>
  </colFields>
  <colItems count="3">
    <i>
      <x v="2"/>
    </i>
    <i>
      <x v="3"/>
    </i>
    <i t="grand">
      <x/>
    </i>
  </colItems>
  <dataFields count="1">
    <dataField name="Sum of Hourly_usage" fld="2" baseField="0" baseItem="0"/>
  </dataFields>
  <chartFormats count="4"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7E7D-024D-4438-8306-66A6DBE03738}">
  <dimension ref="A3:D21"/>
  <sheetViews>
    <sheetView tabSelected="1" workbookViewId="0">
      <selection activeCell="A32" sqref="A32"/>
    </sheetView>
  </sheetViews>
  <sheetFormatPr defaultRowHeight="15" x14ac:dyDescent="0.25"/>
  <cols>
    <col min="1" max="1" width="19.85546875" bestFit="1" customWidth="1"/>
    <col min="2" max="2" width="17" bestFit="1" customWidth="1"/>
    <col min="3" max="3" width="17.85546875" bestFit="1" customWidth="1"/>
    <col min="4" max="4" width="11.28515625" bestFit="1" customWidth="1"/>
    <col min="5" max="5" width="17.28515625" bestFit="1" customWidth="1"/>
    <col min="6" max="6" width="24.85546875" bestFit="1" customWidth="1"/>
    <col min="7" max="7" width="22.28515625" bestFit="1" customWidth="1"/>
    <col min="8" max="15" width="6" bestFit="1" customWidth="1"/>
    <col min="16" max="16" width="12.140625" bestFit="1" customWidth="1"/>
    <col min="17" max="17" width="9.85546875" bestFit="1" customWidth="1"/>
    <col min="18" max="30" width="6" bestFit="1" customWidth="1"/>
    <col min="31" max="31" width="12.85546875" bestFit="1" customWidth="1"/>
    <col min="32" max="32" width="11.28515625" bestFit="1" customWidth="1"/>
  </cols>
  <sheetData>
    <row r="3" spans="1:4" x14ac:dyDescent="0.25">
      <c r="A3" s="3" t="s">
        <v>37</v>
      </c>
      <c r="B3" s="3" t="s">
        <v>33</v>
      </c>
    </row>
    <row r="4" spans="1:4" x14ac:dyDescent="0.25">
      <c r="A4" s="3" t="s">
        <v>31</v>
      </c>
      <c r="B4" t="s">
        <v>38</v>
      </c>
      <c r="C4" t="s">
        <v>39</v>
      </c>
      <c r="D4" t="s">
        <v>32</v>
      </c>
    </row>
    <row r="5" spans="1:4" x14ac:dyDescent="0.25">
      <c r="A5" s="6">
        <v>800</v>
      </c>
      <c r="B5" s="2"/>
      <c r="C5" s="2">
        <v>2.4000000000000021E-2</v>
      </c>
      <c r="D5" s="2">
        <v>2.4000000000000021E-2</v>
      </c>
    </row>
    <row r="6" spans="1:4" x14ac:dyDescent="0.25">
      <c r="A6" s="6">
        <v>900</v>
      </c>
      <c r="B6" s="2">
        <v>2.5000000000000001E-2</v>
      </c>
      <c r="C6" s="2">
        <v>7.0999999999999952E-2</v>
      </c>
      <c r="D6" s="2">
        <v>9.5999999999999946E-2</v>
      </c>
    </row>
    <row r="7" spans="1:4" x14ac:dyDescent="0.25">
      <c r="A7" s="6">
        <v>1000</v>
      </c>
      <c r="B7" s="2">
        <v>0.11900000000000005</v>
      </c>
      <c r="C7" s="2">
        <v>5.8999999999999941E-2</v>
      </c>
      <c r="D7" s="2">
        <v>0.17799999999999999</v>
      </c>
    </row>
    <row r="8" spans="1:4" x14ac:dyDescent="0.25">
      <c r="A8" s="6">
        <v>1100</v>
      </c>
      <c r="B8" s="2">
        <v>0.11199999999999999</v>
      </c>
      <c r="C8" s="2">
        <v>5.600000000000005E-2</v>
      </c>
      <c r="D8" s="2">
        <v>0.16800000000000004</v>
      </c>
    </row>
    <row r="9" spans="1:4" x14ac:dyDescent="0.25">
      <c r="A9" s="6">
        <v>1200</v>
      </c>
      <c r="B9" s="2"/>
      <c r="C9" s="2">
        <v>6.0999999999999943E-2</v>
      </c>
      <c r="D9" s="2">
        <v>6.0999999999999943E-2</v>
      </c>
    </row>
    <row r="10" spans="1:4" x14ac:dyDescent="0.25">
      <c r="A10" s="6">
        <v>1300</v>
      </c>
      <c r="B10" s="2">
        <v>5.699999999999994E-2</v>
      </c>
      <c r="C10" s="2">
        <v>4.7000000000000153E-2</v>
      </c>
      <c r="D10" s="2">
        <v>0.10400000000000009</v>
      </c>
    </row>
    <row r="11" spans="1:4" x14ac:dyDescent="0.25">
      <c r="A11" s="6">
        <v>1400</v>
      </c>
      <c r="B11" s="2">
        <v>5.600000000000005E-2</v>
      </c>
      <c r="C11" s="2">
        <v>5.8999999999999941E-2</v>
      </c>
      <c r="D11" s="2">
        <v>0.11499999999999999</v>
      </c>
    </row>
    <row r="12" spans="1:4" x14ac:dyDescent="0.25">
      <c r="A12" s="6">
        <v>1500</v>
      </c>
      <c r="B12" s="2">
        <v>6.6999999999999948E-2</v>
      </c>
      <c r="C12" s="2">
        <v>6.2000000000000055E-2</v>
      </c>
      <c r="D12" s="2">
        <v>0.129</v>
      </c>
    </row>
    <row r="13" spans="1:4" x14ac:dyDescent="0.25">
      <c r="A13" s="6">
        <v>1600</v>
      </c>
      <c r="B13" s="2">
        <v>6.1000000000000054E-2</v>
      </c>
      <c r="C13" s="2">
        <v>3.8999999999999924E-2</v>
      </c>
      <c r="D13" s="2">
        <v>9.9999999999999978E-2</v>
      </c>
    </row>
    <row r="14" spans="1:4" x14ac:dyDescent="0.25">
      <c r="A14" s="6">
        <v>1700</v>
      </c>
      <c r="B14" s="2">
        <v>3.6000000000000032E-2</v>
      </c>
      <c r="C14" s="2"/>
      <c r="D14" s="2">
        <v>3.6000000000000032E-2</v>
      </c>
    </row>
    <row r="15" spans="1:4" x14ac:dyDescent="0.25">
      <c r="A15" s="6">
        <v>1800</v>
      </c>
      <c r="B15" s="2">
        <v>7.0999999999999952E-2</v>
      </c>
      <c r="C15" s="2"/>
      <c r="D15" s="2">
        <v>7.0999999999999952E-2</v>
      </c>
    </row>
    <row r="16" spans="1:4" x14ac:dyDescent="0.25">
      <c r="A16" s="6">
        <v>1900</v>
      </c>
      <c r="B16" s="2">
        <v>0.10400000000000009</v>
      </c>
      <c r="C16" s="2">
        <v>1.8999999999999906E-2</v>
      </c>
      <c r="D16" s="2">
        <v>0.123</v>
      </c>
    </row>
    <row r="17" spans="1:4" x14ac:dyDescent="0.25">
      <c r="A17" s="6">
        <v>2000</v>
      </c>
      <c r="B17" s="2">
        <v>6.899999999999995E-2</v>
      </c>
      <c r="C17" s="2">
        <v>7.6000000000000068E-2</v>
      </c>
      <c r="D17" s="2">
        <v>0.14500000000000002</v>
      </c>
    </row>
    <row r="18" spans="1:4" x14ac:dyDescent="0.25">
      <c r="A18" s="6">
        <v>2100</v>
      </c>
      <c r="B18" s="2">
        <v>5.8000000000000052E-2</v>
      </c>
      <c r="C18" s="2">
        <v>6.2000000000000055E-2</v>
      </c>
      <c r="D18" s="2">
        <v>0.12000000000000011</v>
      </c>
    </row>
    <row r="19" spans="1:4" x14ac:dyDescent="0.25">
      <c r="A19" s="6">
        <v>2200</v>
      </c>
      <c r="B19" s="2">
        <v>5.0999999999999934E-2</v>
      </c>
      <c r="C19" s="2">
        <v>7.3999999999999844E-2</v>
      </c>
      <c r="D19" s="2">
        <v>0.12499999999999978</v>
      </c>
    </row>
    <row r="20" spans="1:4" x14ac:dyDescent="0.25">
      <c r="A20" s="6">
        <v>2300</v>
      </c>
      <c r="B20" s="2">
        <v>2.8000000000000025E-2</v>
      </c>
      <c r="C20" s="2">
        <v>5.8000000000000274E-2</v>
      </c>
      <c r="D20" s="2">
        <v>8.6000000000000298E-2</v>
      </c>
    </row>
    <row r="21" spans="1:4" x14ac:dyDescent="0.25">
      <c r="A21" s="6" t="s">
        <v>32</v>
      </c>
      <c r="B21" s="2">
        <v>0.91400000000000003</v>
      </c>
      <c r="C21" s="2">
        <v>0.76700000000000013</v>
      </c>
      <c r="D21" s="2">
        <v>1.6810000000000003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I22" sqref="I22"/>
    </sheetView>
  </sheetViews>
  <sheetFormatPr defaultRowHeight="15" x14ac:dyDescent="0.25"/>
  <cols>
    <col min="1" max="1" width="16.28515625" customWidth="1"/>
    <col min="2" max="2" width="10.7109375" customWidth="1"/>
    <col min="3" max="3" width="12.7109375" customWidth="1"/>
    <col min="4" max="4" width="10.7109375" customWidth="1"/>
    <col min="5" max="5" width="18.28515625" customWidth="1"/>
    <col min="6" max="6" width="9.140625" style="5"/>
  </cols>
  <sheetData>
    <row r="1" spans="1:6" x14ac:dyDescent="0.25">
      <c r="A1" s="1" t="s">
        <v>0</v>
      </c>
      <c r="B1" s="1" t="s">
        <v>1</v>
      </c>
      <c r="C1" s="1" t="s">
        <v>36</v>
      </c>
      <c r="D1" s="1" t="s">
        <v>35</v>
      </c>
      <c r="E1" s="1" t="s">
        <v>30</v>
      </c>
      <c r="F1" s="4" t="s">
        <v>34</v>
      </c>
    </row>
    <row r="2" spans="1:6" x14ac:dyDescent="0.25">
      <c r="A2" t="s">
        <v>2</v>
      </c>
      <c r="B2">
        <v>0.40699999999999997</v>
      </c>
      <c r="C2">
        <v>2.5000000000000001E-2</v>
      </c>
      <c r="D2">
        <f>B2-0.382</f>
        <v>2.4999999999999967E-2</v>
      </c>
      <c r="E2" t="s">
        <v>38</v>
      </c>
      <c r="F2" s="5">
        <v>900</v>
      </c>
    </row>
    <row r="3" spans="1:6" x14ac:dyDescent="0.25">
      <c r="A3" t="s">
        <v>3</v>
      </c>
      <c r="B3">
        <v>0.52600000000000002</v>
      </c>
      <c r="C3">
        <f>B3-B2</f>
        <v>0.11900000000000005</v>
      </c>
      <c r="D3">
        <f t="shared" ref="D3:D15" si="0">B3-0.382</f>
        <v>0.14400000000000002</v>
      </c>
      <c r="E3" t="s">
        <v>38</v>
      </c>
      <c r="F3" s="5">
        <v>1000</v>
      </c>
    </row>
    <row r="4" spans="1:6" x14ac:dyDescent="0.25">
      <c r="A4" t="s">
        <v>4</v>
      </c>
      <c r="B4">
        <v>0.63800000000000001</v>
      </c>
      <c r="C4">
        <f t="shared" ref="C4:C29" si="1">B4-B3</f>
        <v>0.11199999999999999</v>
      </c>
      <c r="D4">
        <f t="shared" si="0"/>
        <v>0.25600000000000001</v>
      </c>
      <c r="E4" t="s">
        <v>38</v>
      </c>
      <c r="F4" s="5">
        <v>1100</v>
      </c>
    </row>
    <row r="5" spans="1:6" x14ac:dyDescent="0.25">
      <c r="A5" t="s">
        <v>5</v>
      </c>
      <c r="B5">
        <v>0.69499999999999995</v>
      </c>
      <c r="C5">
        <f t="shared" si="1"/>
        <v>5.699999999999994E-2</v>
      </c>
      <c r="D5">
        <f t="shared" si="0"/>
        <v>0.31299999999999994</v>
      </c>
      <c r="E5" t="s">
        <v>38</v>
      </c>
      <c r="F5" s="5">
        <v>1300</v>
      </c>
    </row>
    <row r="6" spans="1:6" x14ac:dyDescent="0.25">
      <c r="A6" t="s">
        <v>6</v>
      </c>
      <c r="B6">
        <v>0.751</v>
      </c>
      <c r="C6">
        <f t="shared" si="1"/>
        <v>5.600000000000005E-2</v>
      </c>
      <c r="D6">
        <f t="shared" si="0"/>
        <v>0.36899999999999999</v>
      </c>
      <c r="E6" t="s">
        <v>38</v>
      </c>
      <c r="F6" s="5">
        <v>1400</v>
      </c>
    </row>
    <row r="7" spans="1:6" x14ac:dyDescent="0.25">
      <c r="A7" t="s">
        <v>7</v>
      </c>
      <c r="B7">
        <v>0.81799999999999995</v>
      </c>
      <c r="C7">
        <f t="shared" si="1"/>
        <v>6.6999999999999948E-2</v>
      </c>
      <c r="D7">
        <f t="shared" si="0"/>
        <v>0.43599999999999994</v>
      </c>
      <c r="E7" t="s">
        <v>38</v>
      </c>
      <c r="F7" s="5">
        <v>1500</v>
      </c>
    </row>
    <row r="8" spans="1:6" x14ac:dyDescent="0.25">
      <c r="A8" t="s">
        <v>8</v>
      </c>
      <c r="B8">
        <v>0.879</v>
      </c>
      <c r="C8">
        <f t="shared" si="1"/>
        <v>6.1000000000000054E-2</v>
      </c>
      <c r="D8">
        <f t="shared" si="0"/>
        <v>0.497</v>
      </c>
      <c r="E8" t="s">
        <v>38</v>
      </c>
      <c r="F8" s="5">
        <v>1600</v>
      </c>
    </row>
    <row r="9" spans="1:6" x14ac:dyDescent="0.25">
      <c r="A9" t="s">
        <v>9</v>
      </c>
      <c r="B9">
        <v>0.91500000000000004</v>
      </c>
      <c r="C9">
        <f t="shared" si="1"/>
        <v>3.6000000000000032E-2</v>
      </c>
      <c r="D9">
        <f t="shared" si="0"/>
        <v>0.53300000000000003</v>
      </c>
      <c r="E9" t="s">
        <v>38</v>
      </c>
      <c r="F9" s="5">
        <v>1700</v>
      </c>
    </row>
    <row r="10" spans="1:6" x14ac:dyDescent="0.25">
      <c r="A10" t="s">
        <v>10</v>
      </c>
      <c r="B10">
        <v>0.98599999999999999</v>
      </c>
      <c r="C10">
        <f t="shared" si="1"/>
        <v>7.0999999999999952E-2</v>
      </c>
      <c r="D10">
        <f t="shared" si="0"/>
        <v>0.60399999999999998</v>
      </c>
      <c r="E10" t="s">
        <v>38</v>
      </c>
      <c r="F10" s="5">
        <v>1800</v>
      </c>
    </row>
    <row r="11" spans="1:6" x14ac:dyDescent="0.25">
      <c r="A11" t="s">
        <v>11</v>
      </c>
      <c r="B11">
        <v>1.0900000000000001</v>
      </c>
      <c r="C11">
        <f t="shared" si="1"/>
        <v>0.10400000000000009</v>
      </c>
      <c r="D11">
        <f t="shared" si="0"/>
        <v>0.70800000000000007</v>
      </c>
      <c r="E11" t="s">
        <v>38</v>
      </c>
      <c r="F11" s="5">
        <v>1900</v>
      </c>
    </row>
    <row r="12" spans="1:6" x14ac:dyDescent="0.25">
      <c r="A12" t="s">
        <v>12</v>
      </c>
      <c r="B12">
        <v>1.159</v>
      </c>
      <c r="C12">
        <f t="shared" si="1"/>
        <v>6.899999999999995E-2</v>
      </c>
      <c r="D12">
        <f t="shared" si="0"/>
        <v>0.77700000000000002</v>
      </c>
      <c r="E12" t="s">
        <v>38</v>
      </c>
      <c r="F12" s="5">
        <v>2000</v>
      </c>
    </row>
    <row r="13" spans="1:6" x14ac:dyDescent="0.25">
      <c r="A13" t="s">
        <v>13</v>
      </c>
      <c r="B13">
        <v>1.2170000000000001</v>
      </c>
      <c r="C13">
        <f t="shared" si="1"/>
        <v>5.8000000000000052E-2</v>
      </c>
      <c r="D13">
        <f t="shared" si="0"/>
        <v>0.83500000000000008</v>
      </c>
      <c r="E13" t="s">
        <v>38</v>
      </c>
      <c r="F13" s="5">
        <v>2100</v>
      </c>
    </row>
    <row r="14" spans="1:6" x14ac:dyDescent="0.25">
      <c r="A14" t="s">
        <v>14</v>
      </c>
      <c r="B14">
        <v>1.268</v>
      </c>
      <c r="C14">
        <f t="shared" si="1"/>
        <v>5.0999999999999934E-2</v>
      </c>
      <c r="D14">
        <f t="shared" si="0"/>
        <v>0.88600000000000001</v>
      </c>
      <c r="E14" t="s">
        <v>38</v>
      </c>
      <c r="F14" s="5">
        <v>2200</v>
      </c>
    </row>
    <row r="15" spans="1:6" x14ac:dyDescent="0.25">
      <c r="A15" t="s">
        <v>15</v>
      </c>
      <c r="B15">
        <v>1.296</v>
      </c>
      <c r="C15">
        <f t="shared" si="1"/>
        <v>2.8000000000000025E-2</v>
      </c>
      <c r="D15">
        <f t="shared" si="0"/>
        <v>0.91400000000000003</v>
      </c>
      <c r="E15" t="s">
        <v>38</v>
      </c>
      <c r="F15" s="5">
        <v>2300</v>
      </c>
    </row>
    <row r="16" spans="1:6" x14ac:dyDescent="0.25">
      <c r="A16" t="s">
        <v>16</v>
      </c>
      <c r="B16">
        <v>1.32</v>
      </c>
      <c r="C16">
        <f t="shared" si="1"/>
        <v>2.4000000000000021E-2</v>
      </c>
      <c r="D16">
        <f>B16-1.296</f>
        <v>2.4000000000000021E-2</v>
      </c>
      <c r="E16" t="s">
        <v>39</v>
      </c>
      <c r="F16" s="5">
        <v>800</v>
      </c>
    </row>
    <row r="17" spans="1:6" x14ac:dyDescent="0.25">
      <c r="A17" t="s">
        <v>17</v>
      </c>
      <c r="B17">
        <v>1.391</v>
      </c>
      <c r="C17">
        <f t="shared" si="1"/>
        <v>7.0999999999999952E-2</v>
      </c>
      <c r="D17">
        <f t="shared" ref="D17:D29" si="2">B17-1.296</f>
        <v>9.4999999999999973E-2</v>
      </c>
      <c r="E17" t="s">
        <v>39</v>
      </c>
      <c r="F17" s="5">
        <v>900</v>
      </c>
    </row>
    <row r="18" spans="1:6" x14ac:dyDescent="0.25">
      <c r="A18" t="s">
        <v>18</v>
      </c>
      <c r="B18">
        <v>1.45</v>
      </c>
      <c r="C18">
        <f t="shared" si="1"/>
        <v>5.8999999999999941E-2</v>
      </c>
      <c r="D18">
        <f t="shared" si="2"/>
        <v>0.15399999999999991</v>
      </c>
      <c r="E18" t="s">
        <v>39</v>
      </c>
      <c r="F18" s="5">
        <v>1000</v>
      </c>
    </row>
    <row r="19" spans="1:6" x14ac:dyDescent="0.25">
      <c r="A19" t="s">
        <v>19</v>
      </c>
      <c r="B19">
        <v>1.506</v>
      </c>
      <c r="C19">
        <f t="shared" si="1"/>
        <v>5.600000000000005E-2</v>
      </c>
      <c r="D19">
        <f t="shared" si="2"/>
        <v>0.20999999999999996</v>
      </c>
      <c r="E19" t="s">
        <v>39</v>
      </c>
      <c r="F19" s="5">
        <v>1100</v>
      </c>
    </row>
    <row r="20" spans="1:6" x14ac:dyDescent="0.25">
      <c r="A20" t="s">
        <v>20</v>
      </c>
      <c r="B20">
        <v>1.5669999999999999</v>
      </c>
      <c r="C20">
        <f t="shared" si="1"/>
        <v>6.0999999999999943E-2</v>
      </c>
      <c r="D20">
        <f t="shared" si="2"/>
        <v>0.27099999999999991</v>
      </c>
      <c r="E20" t="s">
        <v>39</v>
      </c>
      <c r="F20" s="5">
        <v>1200</v>
      </c>
    </row>
    <row r="21" spans="1:6" x14ac:dyDescent="0.25">
      <c r="A21" t="s">
        <v>21</v>
      </c>
      <c r="B21">
        <v>1.6140000000000001</v>
      </c>
      <c r="C21">
        <f t="shared" si="1"/>
        <v>4.7000000000000153E-2</v>
      </c>
      <c r="D21">
        <f t="shared" si="2"/>
        <v>0.31800000000000006</v>
      </c>
      <c r="E21" t="s">
        <v>39</v>
      </c>
      <c r="F21" s="5">
        <v>1300</v>
      </c>
    </row>
    <row r="22" spans="1:6" x14ac:dyDescent="0.25">
      <c r="A22" t="s">
        <v>22</v>
      </c>
      <c r="B22">
        <v>1.673</v>
      </c>
      <c r="C22">
        <f t="shared" si="1"/>
        <v>5.8999999999999941E-2</v>
      </c>
      <c r="D22">
        <f t="shared" si="2"/>
        <v>0.377</v>
      </c>
      <c r="E22" t="s">
        <v>39</v>
      </c>
      <c r="F22" s="5">
        <v>1400</v>
      </c>
    </row>
    <row r="23" spans="1:6" x14ac:dyDescent="0.25">
      <c r="A23" t="s">
        <v>23</v>
      </c>
      <c r="B23">
        <v>1.7350000000000001</v>
      </c>
      <c r="C23">
        <f t="shared" si="1"/>
        <v>6.2000000000000055E-2</v>
      </c>
      <c r="D23">
        <f t="shared" si="2"/>
        <v>0.43900000000000006</v>
      </c>
      <c r="E23" t="s">
        <v>39</v>
      </c>
      <c r="F23" s="5">
        <v>1500</v>
      </c>
    </row>
    <row r="24" spans="1:6" x14ac:dyDescent="0.25">
      <c r="A24" t="s">
        <v>24</v>
      </c>
      <c r="B24">
        <v>1.774</v>
      </c>
      <c r="C24">
        <f t="shared" si="1"/>
        <v>3.8999999999999924E-2</v>
      </c>
      <c r="D24">
        <f t="shared" si="2"/>
        <v>0.47799999999999998</v>
      </c>
      <c r="E24" t="s">
        <v>39</v>
      </c>
      <c r="F24" s="5">
        <v>1600</v>
      </c>
    </row>
    <row r="25" spans="1:6" x14ac:dyDescent="0.25">
      <c r="A25" t="s">
        <v>25</v>
      </c>
      <c r="B25">
        <v>1.7929999999999999</v>
      </c>
      <c r="C25">
        <f t="shared" si="1"/>
        <v>1.8999999999999906E-2</v>
      </c>
      <c r="D25">
        <f t="shared" si="2"/>
        <v>0.49699999999999989</v>
      </c>
      <c r="E25" t="s">
        <v>39</v>
      </c>
      <c r="F25" s="5">
        <v>1900</v>
      </c>
    </row>
    <row r="26" spans="1:6" x14ac:dyDescent="0.25">
      <c r="A26" t="s">
        <v>26</v>
      </c>
      <c r="B26">
        <v>1.869</v>
      </c>
      <c r="C26">
        <f t="shared" si="1"/>
        <v>7.6000000000000068E-2</v>
      </c>
      <c r="D26">
        <f t="shared" si="2"/>
        <v>0.57299999999999995</v>
      </c>
      <c r="E26" t="s">
        <v>39</v>
      </c>
      <c r="F26" s="5">
        <v>2000</v>
      </c>
    </row>
    <row r="27" spans="1:6" x14ac:dyDescent="0.25">
      <c r="A27" t="s">
        <v>27</v>
      </c>
      <c r="B27">
        <v>1.931</v>
      </c>
      <c r="C27">
        <f t="shared" si="1"/>
        <v>6.2000000000000055E-2</v>
      </c>
      <c r="D27">
        <f t="shared" si="2"/>
        <v>0.63500000000000001</v>
      </c>
      <c r="E27" t="s">
        <v>39</v>
      </c>
      <c r="F27" s="5">
        <v>2100</v>
      </c>
    </row>
    <row r="28" spans="1:6" x14ac:dyDescent="0.25">
      <c r="A28" t="s">
        <v>28</v>
      </c>
      <c r="B28">
        <v>2.0049999999999999</v>
      </c>
      <c r="C28">
        <f t="shared" si="1"/>
        <v>7.3999999999999844E-2</v>
      </c>
      <c r="D28">
        <f t="shared" si="2"/>
        <v>0.70899999999999985</v>
      </c>
      <c r="E28" t="s">
        <v>39</v>
      </c>
      <c r="F28" s="5">
        <v>2200</v>
      </c>
    </row>
    <row r="29" spans="1:6" x14ac:dyDescent="0.25">
      <c r="A29" t="s">
        <v>29</v>
      </c>
      <c r="B29">
        <v>2.0630000000000002</v>
      </c>
      <c r="C29">
        <f t="shared" si="1"/>
        <v>5.8000000000000274E-2</v>
      </c>
      <c r="D29">
        <f t="shared" si="2"/>
        <v>0.76700000000000013</v>
      </c>
      <c r="E29" t="s">
        <v>39</v>
      </c>
      <c r="F29" s="5">
        <v>2300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LOH JIEN SENG</cp:lastModifiedBy>
  <dcterms:created xsi:type="dcterms:W3CDTF">2026-01-12T14:12:45Z</dcterms:created>
  <dcterms:modified xsi:type="dcterms:W3CDTF">2026-01-12T14:53:17Z</dcterms:modified>
</cp:coreProperties>
</file>